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8.xml" ContentType="application/vnd.ms-office.activeX+xml"/>
  <Override PartName="/xl/activeX/activeX7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8.bin" ContentType="application/vnd.ms-office.activeX"/>
  <Override PartName="/xl/activeX/activeX7.bin" ContentType="application/vnd.ms-office.activeX"/>
  <Override PartName="/xl/activeX/activeX9.bin" ContentType="application/vnd.ms-office.activeX"/>
  <Override PartName="/xl/activeX/activeX10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30" codeName="{00000000-0000-0000-0000-000000000000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edos\OneDrive\Рабочий стол\"/>
    </mc:Choice>
  </mc:AlternateContent>
  <xr:revisionPtr revIDLastSave="0" documentId="13_ncr:1_{B585DD7A-4BAB-4690-805F-365B542BF535}" xr6:coauthVersionLast="47" xr6:coauthVersionMax="47" xr10:uidLastSave="{00000000-0000-0000-0000-000000000000}"/>
  <bookViews>
    <workbookView xWindow="2916" yWindow="792" windowWidth="17280" windowHeight="8964" firstSheet="1" activeTab="1" xr2:uid="{00000000-000D-0000-FFFF-FFFF00000000}"/>
  </bookViews>
  <sheets>
    <sheet name="основна" sheetId="1" r:id="rId1"/>
    <sheet name="допоміжна" sheetId="2" r:id="rId2"/>
    <sheet name="зведена" sheetId="6" r:id="rId3"/>
  </sheets>
  <externalReferences>
    <externalReference r:id="rId4"/>
  </externalReferences>
  <definedNames>
    <definedName name="_xlnm._FilterDatabase" localSheetId="0" hidden="1">основна!$C$1:$C$8</definedName>
    <definedName name="курс">основна!$K$2</definedName>
    <definedName name="объем">основна!$G$2:$G$4</definedName>
  </definedNames>
  <calcPr calcId="191028"/>
  <pivotCaches>
    <pivotCache cacheId="36037" r:id="rId5"/>
    <pivotCache cacheId="36038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4" i="1"/>
  <c r="J3" i="1"/>
</calcChain>
</file>

<file path=xl/sharedStrings.xml><?xml version="1.0" encoding="utf-8"?>
<sst xmlns="http://schemas.openxmlformats.org/spreadsheetml/2006/main" count="40" uniqueCount="31">
  <si>
    <t>Номер з/п</t>
  </si>
  <si>
    <t>Вид хімічного засобу</t>
  </si>
  <si>
    <t>Вид шкідника</t>
  </si>
  <si>
    <t>Адреса квартири</t>
  </si>
  <si>
    <t>ПІБ власник</t>
  </si>
  <si>
    <t>Середня к-ть шкідників даного виду, що побували в квартирі за рік</t>
  </si>
  <si>
    <t>Об’єм закупівлі в рік, од.</t>
  </si>
  <si>
    <t>загальна кількість знищених шкідників</t>
  </si>
  <si>
    <t>Середня кількість шкідників даного виду, що знищені в квартирі за рік</t>
  </si>
  <si>
    <t>Ефективність засобу, $</t>
  </si>
  <si>
    <t>$</t>
  </si>
  <si>
    <t>Раптор(підвіска)</t>
  </si>
  <si>
    <t>моль</t>
  </si>
  <si>
    <t>вул. Яворницького</t>
  </si>
  <si>
    <t>Шевченко Миколай Іванович</t>
  </si>
  <si>
    <t>Bros(порошок)</t>
  </si>
  <si>
    <t>мураха</t>
  </si>
  <si>
    <t>вул. Воскресенська</t>
  </si>
  <si>
    <t>Олейник Олександр Вадимович</t>
  </si>
  <si>
    <t>Rubit(гель)</t>
  </si>
  <si>
    <t>тарган</t>
  </si>
  <si>
    <t>вул. Глінки</t>
  </si>
  <si>
    <t>Ковальчук Ілля Іванович</t>
  </si>
  <si>
    <t xml:space="preserve"> </t>
  </si>
  <si>
    <t>Вид хім. засобу</t>
  </si>
  <si>
    <t>Вартість однієї упаковки, грн</t>
  </si>
  <si>
    <t>Кількість шкідників, що знищено за допомогою однієї упаковки</t>
  </si>
  <si>
    <t>name</t>
  </si>
  <si>
    <t>value</t>
  </si>
  <si>
    <t>Сумма по полю Номер з/п</t>
  </si>
  <si>
    <t>Общий 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</si>
</sst>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0_ ;\-0\ "/>
  </numFmts>
  <fonts count="3">
    <font>
      <sz val="11"/>
      <color theme="1"/>
      <name val="Calibri"/>
      <family val="2"/>
      <scheme val="minor"/>
    </font>
    <font>
      <sz val="11"/>
      <color rgb="FF000000"/>
      <name val="Times New Roman"/>
      <charset val="1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3" xfId="0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49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0" fillId="0" borderId="4" xfId="0" applyBorder="1" applyAlignment="1">
      <alignment wrapText="1"/>
    </xf>
    <xf numFmtId="165" fontId="1" fillId="0" borderId="4" xfId="0" applyNumberFormat="1" applyFont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/>
    <xf numFmtId="49" fontId="0" fillId="0" borderId="6" xfId="0" applyNumberFormat="1" applyBorder="1"/>
    <xf numFmtId="1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9" fontId="0" fillId="0" borderId="0" xfId="1" applyFont="1"/>
    <xf numFmtId="20" fontId="0" fillId="0" borderId="1" xfId="0" applyNumberFormat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03937007874016"/>
          <c:y val="0.13930555555555554"/>
          <c:w val="0.83129396325459315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[1]основна!$B$2</c:f>
              <c:strCache>
                <c:ptCount val="1"/>
                <c:pt idx="0">
                  <c:v>Раптор(підвіска)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9-4883-8661-715FE1647216}"/>
            </c:ext>
          </c:extLst>
        </c:ser>
        <c:ser>
          <c:idx val="4"/>
          <c:order val="1"/>
          <c:tx>
            <c:strRef>
              <c:f>[1]основна!$B$3</c:f>
              <c:strCache>
                <c:ptCount val="1"/>
                <c:pt idx="0">
                  <c:v>Bros(порошок)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99-4883-8661-715FE1647216}"/>
            </c:ext>
          </c:extLst>
        </c:ser>
        <c:ser>
          <c:idx val="5"/>
          <c:order val="2"/>
          <c:tx>
            <c:strRef>
              <c:f>[1]основна!$B$4</c:f>
              <c:strCache>
                <c:ptCount val="1"/>
                <c:pt idx="0">
                  <c:v>Rubit(гель)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[1]основна!$I$4</c:f>
              <c:numCache>
                <c:formatCode>General</c:formatCode>
                <c:ptCount val="1"/>
                <c:pt idx="0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99-4883-8661-715FE1647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871912"/>
        <c:axId val="695873552"/>
      </c:barChart>
      <c:catAx>
        <c:axId val="69587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73552"/>
        <c:crosses val="autoZero"/>
        <c:auto val="1"/>
        <c:lblAlgn val="ctr"/>
        <c:lblOffset val="100"/>
        <c:noMultiLvlLbl val="0"/>
      </c:catAx>
      <c:valAx>
        <c:axId val="6958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03937007874016"/>
          <c:y val="0.13930555555555554"/>
          <c:w val="0.83129396325459315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[1]основна!$B$2</c:f>
              <c:strCache>
                <c:ptCount val="1"/>
                <c:pt idx="0">
                  <c:v>Раптор(підвіска)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1-4C19-A6E9-9CD712A29A46}"/>
            </c:ext>
          </c:extLst>
        </c:ser>
        <c:ser>
          <c:idx val="4"/>
          <c:order val="1"/>
          <c:tx>
            <c:strRef>
              <c:f>[1]основна!$B$3</c:f>
              <c:strCache>
                <c:ptCount val="1"/>
                <c:pt idx="0">
                  <c:v>Bros(порошок)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E1-4C19-A6E9-9CD712A29A46}"/>
            </c:ext>
          </c:extLst>
        </c:ser>
        <c:ser>
          <c:idx val="5"/>
          <c:order val="2"/>
          <c:tx>
            <c:strRef>
              <c:f>[1]основна!$B$4</c:f>
              <c:strCache>
                <c:ptCount val="1"/>
                <c:pt idx="0">
                  <c:v>Rubit(гель)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[1]основна!$I$4</c:f>
              <c:numCache>
                <c:formatCode>General</c:formatCode>
                <c:ptCount val="1"/>
                <c:pt idx="0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E1-4C19-A6E9-9CD712A29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871912"/>
        <c:axId val="695873552"/>
      </c:barChart>
      <c:catAx>
        <c:axId val="69587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73552"/>
        <c:crosses val="autoZero"/>
        <c:auto val="1"/>
        <c:lblAlgn val="ctr"/>
        <c:lblOffset val="100"/>
        <c:noMultiLvlLbl val="0"/>
      </c:catAx>
      <c:valAx>
        <c:axId val="6958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320040</xdr:colOff>
          <xdr:row>5</xdr:row>
          <xdr:rowOff>167640</xdr:rowOff>
        </xdr:from>
        <xdr:to>
          <xdr:col>8</xdr:col>
          <xdr:colOff>30480</xdr:colOff>
          <xdr:row>10</xdr:row>
          <xdr:rowOff>7620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99060</xdr:rowOff>
        </xdr:from>
        <xdr:to>
          <xdr:col>8</xdr:col>
          <xdr:colOff>182880</xdr:colOff>
          <xdr:row>15</xdr:row>
          <xdr:rowOff>76200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16</xdr:row>
          <xdr:rowOff>175260</xdr:rowOff>
        </xdr:from>
        <xdr:to>
          <xdr:col>7</xdr:col>
          <xdr:colOff>1150620</xdr:colOff>
          <xdr:row>21</xdr:row>
          <xdr:rowOff>38100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5</xdr:row>
          <xdr:rowOff>121920</xdr:rowOff>
        </xdr:from>
        <xdr:to>
          <xdr:col>11</xdr:col>
          <xdr:colOff>365760</xdr:colOff>
          <xdr:row>10</xdr:row>
          <xdr:rowOff>60960</xdr:rowOff>
        </xdr:to>
        <xdr:sp macro="" textlink="">
          <xdr:nvSpPr>
            <xdr:cNvPr id="2059" name="CommandButton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12</xdr:row>
          <xdr:rowOff>38100</xdr:rowOff>
        </xdr:from>
        <xdr:to>
          <xdr:col>11</xdr:col>
          <xdr:colOff>426720</xdr:colOff>
          <xdr:row>15</xdr:row>
          <xdr:rowOff>60960</xdr:rowOff>
        </xdr:to>
        <xdr:sp macro="" textlink="">
          <xdr:nvSpPr>
            <xdr:cNvPr id="2062" name="CommandButton6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411480</xdr:colOff>
          <xdr:row>17</xdr:row>
          <xdr:rowOff>114300</xdr:rowOff>
        </xdr:from>
        <xdr:to>
          <xdr:col>11</xdr:col>
          <xdr:colOff>449580</xdr:colOff>
          <xdr:row>20</xdr:row>
          <xdr:rowOff>152400</xdr:rowOff>
        </xdr:to>
        <xdr:sp macro="" textlink="">
          <xdr:nvSpPr>
            <xdr:cNvPr id="2063" name="CommandButton7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10</xdr:row>
          <xdr:rowOff>30480</xdr:rowOff>
        </xdr:from>
        <xdr:to>
          <xdr:col>1</xdr:col>
          <xdr:colOff>441960</xdr:colOff>
          <xdr:row>14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1630680</xdr:colOff>
          <xdr:row>2</xdr:row>
          <xdr:rowOff>144780</xdr:rowOff>
        </xdr:from>
        <xdr:to>
          <xdr:col>8</xdr:col>
          <xdr:colOff>60960</xdr:colOff>
          <xdr:row>7</xdr:row>
          <xdr:rowOff>129540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8</xdr:row>
      <xdr:rowOff>0</xdr:rowOff>
    </xdr:from>
    <xdr:to>
      <xdr:col>4</xdr:col>
      <xdr:colOff>304800</xdr:colOff>
      <xdr:row>9</xdr:row>
      <xdr:rowOff>121920</xdr:rowOff>
    </xdr:to>
    <xdr:sp macro="" textlink="">
      <xdr:nvSpPr>
        <xdr:cNvPr id="3075" name="AutoShape 3" descr="data:image/png;base64,iVBORw0KGgoAAAANSUhEUgAAAdMAAAEfCAYAAAAa1CxiAAAAAXNSR0IArs4c6QAAIABJREFUeF7tnWFsHdW1qFd+OUi4JrivhBBwC8gIEYx/BBAQVQ3lSgbVIBHSNOKSYldgoghMHihElixF1yoyKMiBEAXj1wSCQkpFUkEUcCWXoIhHBaQSdaHIFlQKCQZKHRpahVi6Uq7Wvnefu89kxj7Hc5Y9PvONZEHmzKyz97fXzDd7zz4z84QFAhCAAAQgAIFUBObp3kePHj198uTJVIHYGQIQgAAEIJBHAvPmzXvTyXRkZOR0Y2NjHhlQZwhAAAIQgEAqAqOjo4JMUyFkZwhAAAIQyDsBZJr3DKD+EIAABCCQmgAyTY2QABCAAAQgkHcCyDTvGUD9IQABCEAgNQFkmhohASAAAQhAIO8EkGneM4D6QwACEIBAagLINDVCAkAAAhCAQN4JINO8ZwD1hwAEIACB1ASQaWqEBIAABCAAgbwTQKZ5zwDqDwEIQAACqQkg09QICQABCEAAAnkngEzzngHUHwIQgAAEUhNApqkREgACEIAABPJOAJnmPQOoPwQgAAEIpCaATFMjJAAEIAABCOSdADLNewZQfwhAAAIQSE0AmaZGSAAIQAACEMg7AWSa9wyg/hCAAAQgkJoAMk2NkAAQgAAEIJB3Asg07xlA/SEAAQhAIDUBZJoaIQEgAAEIQCDvBJBp3jOA+kMAAhCAQGoCyDQ1QgJAAAIQgEDeCSDTvGcA9YcABCAAgdQEkGlqhASAAAQgAIG8E0Cmec8A6g8BCEAAAqkJINPUCAkAAQhAAAJ5J4BM854B1B8CEIAABFITQKapERIAAhCAAATyTgCZ5j0DqD8EIAABCKQmgExTIyQABCAAAQjknQAyzXsGUH8IVDmBffv2ydatWwu1fPzxx+Xqq69OrPWpU6dk8+bNsnr1arnkkksK2+n6TZs2yTXXXCO33377Gfsn7VdJvH19fbJs2bJJy6/f98knn8hDDz0kJ06ckIsuuki2bNniivHggw/Kp59+WihS3Gd+3YIFCypZ9KqPNWdlumPHDvnLX/4i3d3dUldX55Kmp6dHxsbGpLa2Vrq6uqShoSFxfdW3LBWEAAQcAZWpLipAlYwKSc8VSbIoVYphXC+woaEh6ejoMCOv5S/lO3bv3i233HKLq2O0nL5w7733nrz11luydu1ad5GwYsUKJ2nd/siRI7J+/XqzelRj4Dkp0+HhYRkcHHTtoYmrMlW5Llq0SFpaWsR/3tnZKZpUcetramqqsT2pEwQgECEQyiQUpW62Z88eefjhh2X+/PkF6aiEtGf6/e9/X371q1+5aL4363uGR48eLfR2fU/u4MGDRdKO9gz1c99DvvXWWwuyCnuRei574okn5Pjx4050UaF9/fXX8thjj8kjjzySeDEQTYCk3qxff+mllxbFLOWCgyQ7k8Cck6n2QPv7++VnP/uZ/PrXvy5cBeo6L1a/jQ7T6MESXe//TUJAAALVTyDaM/UC/eyzzxJlqj218847z8lMe3B79+51vbft27cXhlmjPb5QWiqkUNTRHmW4bdhD9MPLSTLV1oru68umFwR+CQUdijv83JdP14U90+kIu/qzaOoazjmZao9Ue5o6hOsFqtWMylQTbuXKlXLgwIEimer6trY2tz8LBCBQ/QTCe6bh/cCo8Lwcfc/U3zMN5fLcc8/FyjQ6NByNrcLcsGFDEez777/fDT3Hfa/KNNzebxuVaSmtFzdsG70QiJaP+6alkC3eZk7JVMfx9+/fL/fcc49o8ibJdGJiQgYGBmT58uVFMvXrW1tbkWn5ucIeEJiTBEJx6MW0Xkj7+6eTDfNWUqZJ9y1DOV555ZWFiU9hzzTaUyx1ElJcL1R7r1P1PKMXAnOy0Weh0HNKpnovtLe3twiT9lL13mjccC7DvLOQUXwlBDJGIGkCkhbT33/U/9eZrrfddpubuBPO2q3UMG/cxKfw/uRZZ51VEZlqR+Pll1+WO+64o3AvOJxQNNkEo6lmLGesaTNVnDkl05Ccvy8aNwFJh4J1Vm97e3vRxKRwfTmtMD4+LvrHAgEIzD0Cb7zxhiv0jTfe6P6rkxLPP/9892/97KWXXpKzzz5bLr/8crn44ovlhhtucDJSuf3ud79zn+m908WLF7t9m5ub5YorrpBjx465+5f6uU42Onz4cOF79DM939x1113iJzv679KNdJ97771XXnzxRfnpT3/q4unI2QsvvOAmUer57amnnirAfuCBB9w233zzjTz//PPy85//XL7zne/Ihx9+6OqgscJJleF3LVy40JVPt9fvePbZZ13dNZ5ftF6HDh1y/1y1alWB1dxrbbsS19fXi/4lLVUj0/CnMdpbjfvJTLjeDjmRIQCBPBKYieHR6EQmP3mJn7HMfsbNWZnOPjpKAAEIQOB/CZT6+9Q0zML7pfp9Orv47rvvLvlnMmm+m30nJ4BMyRAIQAACEIBASgLINCVAdocABCAAAQggU3IAAhCAAAQgkJIAMk0JkN0hAAEIQAACyJQcgAAEIAABCKQkgExTAmR3CEAAAhCAADIlByAAAQhAAAIpCSDTlADZHQIQyBaB9ftaslWgKilN3+3//dpLlngCyJTMgAAEqooAMrVpTmQ6OVdkapN3RIUABGaJADK1AY9MkalNZhEVAhDIJAFkatMsyBSZ2mQWUSEAgUwSQKY2zYJMkalNZhEVAhDIJAFkatMsyBSZ2mQWUSEAgUwSQKY2zYJMkalNZhEVAhDIJAFkatMsyBSZ2mQWUSEAgUwSQKY2zYJMkalNZhEVAhDIJAFkatMsyLTKZDo8PCy9vb2uVs3NzdLZ2Sk1NTUyODgou3btKtR248aN0tTUJCdOnJCenh4ZGxuT2tpa6erqkoaGBptsIyoEIDDrBJCpTRMg0yqS6cTEhLz++uty8803O4Hu2LFDli5d6qSpMtWlpaX4UWK6zaJFi9x6FbFu5wVsk3JEhQAEZpMAMrWhj0yrSKZhVVSsAwMD0tra6nqacTLVXml/f790dHRIXV2d66WG/7ZJOaJCAAKzSQCZ2tBHplUm03CYd82aNYWeaDjMqz3R7u5uV/OoTPv6+qStrY2hXpvjjagQmHUCyNSmCZBplck0rE44hBuuV7GqdFWaO3fuLPRMo71Zm5QjKgQgMJsEkKkNfWRaxTJVYR4+fFja29uLannkyBHZv3+/rFq1qkim0x3mHR8fF/1jgQAEsk9g+wcPZL+Qc7CEa5c8NQdLXbki19fXi/4lLXPqrTEqwzfffFNuu+02V5/JeqY6e1clG26jPVa/vnKIiQQBCGSJAD1Tm9agZ1plPVOV49DQkKuV/2nMqVOnCj9/CdfrjN/wpzH+XqpORmKBAASqkwAytWlXZFplMrVJE6JCAALVQgCZ2rQk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DTKpPp8PCw9Pb2ulo1NzdLZ2en1NTUyIkTJ6Snp0fGxsaktrZWurq6pKGhIXG9TboRFQIQmG0CyNSmBZBpFcl0YmJCXn/9dbn55pudQHfs2CFLly6VpqYm9/+LFi2SlpYWUeEODg460e7evTt2ve7PAgEIVB8BZGrTpsi0imQaVkXFOjAwIK2trXLOOedIf3+/dHR0SF1dneuN6r9Xr14te/bsOWO9384m5YgKAQjMJgFkakMfmVaZTMNh3jVr1rieqJdnKNO+vj5ZuXKlHDhwoEimur6trc0NAbNAAALVRwCZ2rQpMq0ymYbV8UO71113XVHP1Pdaly9fXiTTsDeLTG0OOKJCYLYJIFObFkCmVSxT7aUePnxYVqxYYTrMOz4+LvrHAgEIZJ/A9g8eyH4h52AJ1y55ag6WunJFrq+vF/1LWkZHR2WefjgyMnK6sbGxct9sEEmHc99880257bbbXPRw0lH4/zr5SGf1tre3F20TrjcoHiEhAIEMEKBnatMI9EyrrGeq0hwaGnK1SvppjM7q7e7uLkxG8j+ZCdfbpBtRIQCB2SaATG1aAJlWmUxt0oSoEIBAtRBApjYtiUyRqU1mERUCEMgkAWRq0yzIFJnaZBZRIQCBTBJApjbNgkyRqU1mERUCEMgkAWRq0yzIFJnaZBZRIQCBTBJApjbNgkyRqU1mERUCEMgkAWRq0yzIFJnaZBZRIQCBTBJApjbNgkyRqU1mERUCEMgkAWRq0yzIFJnaZBZRIQCBTBJApjbNgkyRqU1mERUCEMgkAWRq0yzIFJnaZBZRIQCBTBJApjbNgkyRqU1mERUCEMgkAWRq0yzIFJnaZBZRIQCBTBJApjbNgkwzKFN9lZp/k0tYPN7qYnMQEBUCeSKATG1aG5lmUKZapCNHjsijjz4q69atk6amJpvWJyoEIJA7AsjUpsmRaUZl6oul7yfVRV/kzQIBCEAgLQFkmpZg/P7INOMy1eINDw/Ltm3bpKurSxoaGmwygagQyDiBr7/+Wh588EH59NNPXUkvuugi2bJliyxYsCB1yfv6+mTZsmVy9dVXp441GwE++eQT2bNnjzz88MMyf/78SYuATG1aCJlmUKZp7pmqeHt7e12tmpubpbOzU2pqamRwcFB27dpVqO3GjRvd8HH4XbW1tQjb5jgjagUIqEwfe+wxeeSRR5xAVYB6cXn77beniq5xn3vuOVm7du2UIkr1RcY79/f3y0033SSXXHIJMjVmHRcemWZQptPNg4mJCdm9e7esWLHCnRSefPJJaWlpcdJUmeqi/w4XHUbWiU26XkWs23kBT7cc7AcBCwJxMvW9SRWrLq+++qrcf//9csstt8imTZvknXfecesff/xx1+s8depUYb3v2X788cfy1ltvyfr164s+93W49dZbYz/zMd977z0ZGRmRDz74wH3ftdde675Dj0H9bMOGDS5UuD7sCSf9f9gTr6urkyeeeMKJMmn7ffv2ue+Z6uKCnqlFdoog04zKNJScFlElNzY2Vta90zBGnEy1V6pXsx0dHaIHa/TfNilHVAhMj8Bkw7wqmC+//LIgsbDXqkOg+m+dIa/iPHr0aJFwQgmpbDdv3iyrV6924lIZetFOFvOXv/ylk90FF1zgyqAXtOeee27he6M96alkeuWVVxbi6EWAlmPv3r1u3fbt292QtMYPh3bDoV4l7MsRHbpGptPLv6n2QqYZlGmc1MoVnfZSBwYGpLW11Q2FhcO8/ic2WvWoTPUgb2tr497sVEcOn884gWjPNE4wvvepwrn77rsL91O9vFRADz30kKxZs6Yg1FBsSTLVIeCkmArCC1f/38v5wgsvLBJ3KDsvRC1vnFgvvfTSoqHnsFza+9a/6D3jUu+bIlOb1EWmGZWpXoXeeeed7n6nLuEQrvYip1qShnV9L1eHdFWaO3fuLPRMowKe6jv4HAIzSSAq0/Dfes/TD/lGt9MyRicYqfBeeeUVN4Ep3DdJpirm8H5tGDNJpp6NH3YtR6bRXmdUplP1TCebhIRMbbIWmWZQplqkuGFeFWAp9zOnuvepv2Hdv3+/rFq1qkim5fZ+bVKSqBCIJ1Bqz9SLzk9OCod5w5m/fsLOn/70J/eFKr25NMyrQ8HhkDQ909k9cpBpRmWqvUSdQPT++++7Epb69CPtkU4l3fD+a/S+arn3ZbVs4+Pj7o8FApYEvvnmG3df8osvvnBfc/bZZ7uJQYsXL3YT73T2+hVXXOE+i277wAMPuM/eeOMNeemll9w2P/zhD93oz4cffuiOM/1/Pe5eeOEFNyFP44afJcXUbTTu3//+d1c2H1e/I/y+JUuWyL333utGm7S8hw4disXly3rs2DHXo/7Xv/6VWFeN//nnn7uy6//rcuONN7p6PPvss+7/PRP/Zds/eMCymXIbe+2Sp3Jbd614fX29+0taRkdHZZ5+ODIycrqxsTHTsOJ+UqMnGB3O1SEqFaUu4U9mwn1KFXamIVA4CJRJIG5YuJwQ4SSlcvar9LbhT2OiPezwuxjmrTT5/45Hz3RyrrMm06gYEZ3NAUBUCLgTYYqHNmRBptEhXi1TdNayb2lkapPzyDSDMvVDvP43olrEqe6D2qQHUSEAgWojgExtWhSZZlCm2itNO5vXJl2ICgEIzHUCyNSmBZFpBmVKz9Qm2YkKAQiIIFObLECmGZSpFol7pjYJT1QI5J0AMrXJAGSaUZnaNDdRIQCBvBNApjYZgEyRqU1mERUCVURAZ/vqI/x00Qfp+6ca6ZOUtm7d6tb7B+Lr/+vsWn1soY4wVfJVcZVAikwrQfHMGMgUmdpkFlEhUCUEVIxDQ0PusZvh05SOHz9eeJD9WWedVXiwfPQh9SpcfeqYPmAiCwsytWkFZIpMbTKLqBCoQgL6gIfu7m4nxvAxhFpV/4D7q666KvFtLlO9uHsmkCFTG8rIFJnaZBZRIVCFBMKHI7z22muuhuGQr/ZAdbg3+mo0/wq48NnAs4UHmdqQR6YZl6k+gkkf2O3fHmOTBkSFAASmIhB9RF/0Zdz+SUhRmaZ9XOFU5Sr3c2RaLrHStkemGZWpPoBe79PU1tZKV1eXK6W+6eWee+5BrKXlNltBoKIEwpeDh8O6Yc9U1zPMW1HscyYYMs2gTMMnIOnV7/XXXy8LFy50b5pYsWKFlPI+0zmTgRQUAhknoD3STZs2yTXXXFMY0tUih5OR9N/+XuoFF1xQmIzkX/7tXweXharSM7VpBWSaQZmGL+l+++23nUzpmdocAESFwFQEdPh2w4YNRZv5n8eEP40JfzIT/jTm2muvdXLNwuQjrQQynarFp/c5Ms2gTLVI0Scg+eFevcJlgQAEIDBdAsh0uuQm3w+ZZlSmNs1NVAhAIO8EkKlNBiBTZGqTWUSFAAQySQCZ2jQLMs2gTKNDvL6IvCDc5iAgKgTyRACZ2rQ2Ms2gTLVI+uPvRx99VNatWydNTU0lt76+RLy3t9dt39zcLJ2dne6nNKGgw/uvSetL/kI2hAAE5hQBZGrTXMg0ozL1xdLfm+rS3t4+ZQboLGD/8xmdOfjkk09KS0uLk7HG0Z6t/luFOzg46ESr28et5yERU+JmAwjMSQLI1KbZkGnGZarFU/lt27bNPbyhnNm8XqDXXXed9Pf3uwd1629UtTeq/169erV77Fl0vf+3TcoRFQIQmE0CyNSGPjLNoEwrcc80/K3qOeecc4ZM9WkuK1eulAMHDhTJVNe3tbWVJW2b1CQqBCBgQQCZWlAVQaYZlGklmlqHcXXRYV3fE/U9Ti/a5cuXF8k0FHA5PeBKlJcYEIDAzBBApjackWkVyjS8J+onH1kO846Pj4v+sUCgkgT+49B/VjIcsf6HwP859//CwoDA2iVPGUSdOyHr6+tF/5IWfWnLPP1wZGTkdGNj44zULM0wr/ZIVaZ+Fq8vcDgBSbcZGxtzk5qS1s9IRfkSCExC4N//31/gY0AAmRpAFYZ5p6I6KzINC6Xi09m2pfw8Jk7C/ucx+rDunp4eJ9Hw96rhPvyOdap04POZJIBMbWgjUxuuDPNmfJi3HJnapAhRITA7BJCpDXdkasMVmSJTm8wiKgRSEkCmKQEm7I5Mbbgi0wzKNM09U5s0ISoEZp4AMrVhjkxtuCLTDMrUpqmJCoG5RQCZ2rQXMrXhikwzKtPwGbu+iEwQsjkIiJpNAsjUpl2QqQ1XZJpBmYYPT/joo4/c7Ft9DODbb7/tHgHIAoE8EECmNq2MTG24ItMMylTvme7du1fuvPNOOXjwoJPpZZddVniIvYqVBQLVTgCZ2rQwMrXhikwzKlP/xCJ9Fdvhw4dlxYoVRc/XtUkHokIgOwSQqU1bIFMbrsg0gzLVIumTiZYuXep6pPoqtffff1/WrFnjnrXLAoE8EECmNq2MTG24ItOMytSmuYkKgblDAJnatBUyteGKTDMqU33y0a5du+S+++6TV1991T0GcOPGjSU9VtAmVYgKgZklgExteCNTG67INIMy1dm8u3fvlp/85Cfy3HPPOYHqC779pCR9EwwLBKqdADK1aWFkasMVmWZQpuFs3n379sn1118vCxcuZDavzTFA1IwSQKY2DYNMbbgiU2Rqk1lEhUBKAsg0JcCE3ZGpDVdkmlGZ+telhcXjCUg2BwFRs0kAmdq0CzK14YpMMyhTm6YmKgTmFgFkatNeyNSGKzJFpjaZRVQIpCSATFMCZJjXBmBCVGSKTGc04ar5y3Sy2NatWwtVfPzxx+Xqq6+etSq/99578tZbb8n69esTy6Blfvfdd2XTpk0yf/78ssqq8Z9++mnZsmWLLFiwoKx9oxvHlRWZpkKauDM9UxuuyDSjMvW/M21tbZU//vGP7nempT4BSd84s23bNunq6pKGhgZXQx/PV9f/ZjV8d2ptbW3RPjYpV71RVUy63H777fLJJ59IX1+f6L3vtKKZLjF9JOVNN90kl1xyyXRDzNh+p06dku3bt8vdd99d4IVMbfAjUxuuyDSDMlXB+Wfz6m9LdeKR/s7Ur5vsQff6GMKTJ0+6WqmIQ5nquujjCHV7ja/rVcIq3c7OTuG3rOUfcKFMVQ6bN292b/k5fvy4bNiwwQXUtnviiSec4FS2+kAOv1x77bXugkkvgjQH/HL//ffL8uXL5cEHH5RPP/20KIbmhLbxM8884/bRbVXmX3/9tTz22GPyyCOPODnFfZf2Rv/85z8X9V7D3vVFF13kep1nnXWW67m+8847rkh+vdZrz5498vDDD7tebfgdWo4LL7ywENv3PG+99VZ56KGHCvULe++6/7Jlywq9eWRafg6WsgcyLYVS+dsg04zKNM1bY8JXuE0m01DaepKP/rv8dMr3HqX0TMPhzFAe2pMNxRRup2JWmenLDnTYWD/T/NB12pv78ssv3f9/9tlnhd5wnOi8qMLvisrUl+nKK68s9BRVpv7CQC8CfI9XW9uXWeP4MvnhYl+HtWvXFu3vs2SyOus2yNTmeEKmNlyRaQZl6k9S+rAGL0N9e0yp7zNNkqk+nlAX/xMb/f+wt6sy1ZNpW1tb4Xtt0q46o4a9urAH6mXoe3baO9P7mKXKVHuZ+iQslZKKKuz1as/WSzLaGw7vlyZ9VyjTcP8LLrigSKZhz1R70F7eXqavvfaa64mG94hVpr5HHu2B+h65j6X1it43RaY2xwkyteGKTDMqUx1y7e3tLSpdqb8zjZNpGEiHcjW+SnPnzp3S0dHhhg6n2s8mBasnatgzDWsVrp9OzzTag7OSaTg0rL1Rfw8z2jP19bnqqqsKPVPdNhyi1frH9Uy1x+wlT890dnIfmdpwR6YZlGkotY8++sj1JFV2aXqmYTW1l7t//35ZtWpVkUynO8w7Pj4u+pf35Y033nAIbrzxxiIU4Xr9/88//9y9+F2fv9zc3CxXXHGFHDt2zN2vvuuuu9z96g8//NC9dk+303x49tlnXVzdVj/TOPfee6+8/PLL7p6s/v9XX30lL774ons5wjfffFMUL+m7Pv7448L3hOXU79TYet9dy/PCCy+4++qLFy925T7//POlsbGx8B0ax5fJ328P6+Bjn3feeYXvC+sRrbMC/I9D/5n3lDKpPzI1wSprlzxlE3iORK2vrxf9S1pGR0dlnn44MjJyWk8eM7GEz+Y9ePCgk6m+11RPYnrfbLIJSFq+qXqYetLW2cHt7e3uval+AlK4fibqWW3fkdQz1R6Yn3SjQ6E33HCDGw0odZhXOYUxopOY9HM/bOqHU+MmIE12z1Q/80OyYbvoZCMdIdF36vph6rhh3qkmIPnZzcpBh4h1IpWy0GMqnMDEBCT7owKZ2jCmZ5rBnmnYQ9Re5OHDh51ES53NOzQ0VKiV9nx0OFdndqpAddF1fsZu+NOYUoeRbVKRqNMhEJ0BG8aY7LPod+mQ7NGjR91MYL/E/VxlOmUsZR9+GlMKpcpsg0wrwzEaBZlmUKZaJO0xLl261PVItVegQ36l/s7UJlWImkUCkwmzlIc2+DrNtkx5aMPMZRcytWGNTDMqU5vmJioE5g4BZvPatBUyteGKTJGpTWYRFQIpCSDTlAATdkemNlyRaYZkGt6/jCsW9zRtDgKiZpMAMrVpF2RqwxWZZkim0aL4+6ZNTU02rU9UCGSYADK1aRxkasMVmSJTm8wiKgRSEkCmKQEyzGsDMCEqMkWmM5pwfNnsEAgfdegfhq8lSVo/O6Us/lZkatMK9ExtuCJTZGqTWUTNDIHwwfjffvutdHd3u2cD65OT/MPpw/VZeWUbMrVJIWRqwxWZZkimTECySfK8R40+mUl/m+pfoKBs/IMa/PrwwQ2zyQ6Z2tBHpjZckWmGZGrTxETNC4Hoq9p8vcOeqT72z8tVH+cXvjYt6XGIs8UPmdqQR6Y2XJEpMrXJLKJmhkD0FXBaML1vessttxS99Nuvp2eamaYzKQgyNcEqyBSZ2mQWUTNLIOkRhOU8y3cmKkfP1IYyMrXhikyRqU1mETWTBHTI9+mnn5YtW7bIggULCmVMWj+blUCmNvSRqQ1XZIpMbTKLqDNOIOmeafj6Nn2lmhdp0voZL3jCFyJTm5ZApjZckSkytcksos44AZXp5s2bZfXq1ZKVn7ekgYBM09BL3heZ2nBFpsjUJrOIOuME4l6jNuOFqOAXItMKwgxCIVMbrsgUmdpkFlEhkJIAMk0JMGF3ZGrDFZlWoUyHh4dl27Zt0tXVVfhxfvhAiNra2sJnSett0o268hBfAAAQxElEQVSoECidADItnVU5WyLTcmiVvi0yrTKZ6ptmTp486WrV2tpakKmu11e4tbS0iMp2cHBQOjs7Zffu3bHra2pqSs8itoSAAQFkagBVRJCpDVdkWmUy1epMTEzIwMBAQaba++zv75eOjg6pq6sT/2+dqLJnz54z1vvtbFKOqBAojQAyLY1TuVsh03KJlbY9Ms2pTPUH+itXrpQDBw4UyVTXt7W1FT27tbRUYisIVJYAMq0sTx8NmdpwRaY5lKnvuS5fvrxIptEerU3KERUCpRFApqVxKncrZFousdK2R6Y5lCnDvKUdHGw1uwSQqQ1/ZGrDFZnmQKZaxXACkk4+Ghsbk/b29sT15aTb+Pi46F9el3X9X+W16qb1Pu/y/33coekX5Sw4MrVp8LVLnrIJPEei1tfXi/4lLaOjozJPPxwZGTnd2NiY+WqpNIeGhgrlbG5udrN29ek4PT09TqI6q1dfEO0nI8Wtz3xFM1TAf3vo/2eoNNVTFGRq05bI1IYrPdMq7JnapApRkwggU5vcQKY2XJGpDVdkikxtMitHUZGpTWMjUxuuyNSGKzJFpjaZlaOoyNSmsZGpDVdkasMVmSJTm8zKUVRkatPYyNSGKzK14YpMkalNZuUoKjK1aWxkasMVmdpwRabI1CazchQVmdo0NjK14YpMbbgiU2Rqk1k5iopMbRobmdpwRaY2XJEpMrXJrBxFRaY2jY1MbbgiUxuuyBSZ2mRWjqIiU5vGRqY2XJGpDVdkikxtMitHUZGpTWMjUxuuyNSGKzJFpjaZlaOoyNSmsZGpDVdkasMVmSJTm8zKUVRkatPYyNSGKzK14YpMkalNZuUoKjK1aWxkasMVmdpwRabI1CazchQVmdo0NjK14YpMbbgiU2Rqk1k5iopMbRobmdpwRaY2XJEpMrXJrBxFRaY2jY1MbbgiUxuuyBSZ2mRWjqIiU5vGRqY2XJGpDVdkikxtMitHUZGpTWMjUxuuyNSGKzLNiUwHBwdl165dhdpu3LhRmpqa5MSJE9LT0yNjY2NSW1srXV1d0tDQYJNtVRoVmdo0LDK14YpMbbgi0xzJVKva0tJSVOMdO3bIokWL3Prh4WFR6XZ2dkpNTY1NxlVhVGRq06jI1IYrMrXhikxzLFPtlfb390tHR4fU1dW5Xmr4b5uUq76oyNSmTZGpDVdkasMVmeZIpn6YV3ui3d3druZRmfb19UlbWxtDvWUcb8i0DFhlbIpMy4BVxqbItAxYZWyKTHMi07CaOpSrQ7oqzZ07dxZ6phMTEzIwMCCtra3ItIyDCJmWAauMTZFpGbDK2BSZlgGrjE2RaQ5leuTIEdm/f7+sWrWqSKbTHeYdHx8X/cvrsq7/q7xW3bTeyNQGLzK14bp2yVM2gedI1Pr6etG/pGV0dFTm6YcjIyOnGxsb50i1Ji+m9kx19m57e7uEE5DC9VVR0RmqBD1TG9DI1IYrMrXhSs80Bz3T8OcvWt3m5ubCjN3wM38vVScjsZROAJmWzqqcLZFpObRK3xaZls6qnC2RaQ5kWk5CsG35BJBp+cxK2QOZlkKp/G2QafnMStkDmSLTUvKEbSYhgExt0gOZ2nBFpjZckSkytcmsHEVFpjaNjUxtuCJTG67IFJnaZFaOoiJTm8ZGpjZckakNV2SKTG0yK0dRkalNYyNTG67I1IYrMkWmNpmVo6jI1KaxkakNV2RqwxWZIlObzMpRVGRq09jI1IYrMrXhikyRqU1m5SgqMrVpbGRqwxWZ2nBFpsjUJrNyFBWZ2jQ2MrXhikxtuCJTZGqTWTmKikxtGhuZ2nBFpjZckSkytcmsHEVFpjaNjUxtuCJTG67IFJnaZFaOoiJTm8ZGpjZckakNV2SKTG0yK0dRkalNYyNTG67I1IYrMkWmNpmVo6jI1KaxkakNV2RqwxWZIlObzMpRVGRq09jI1IYrMrXhikyRqU1m5SgqMrVpbGRqwxWZ2nBFpsjUJrNyFBWZ2jQ2MrXhikxtuCJTZGqTWTmKikxtGhuZ2nBFpjZckWnOZXrixAnp6emRsbExqa2tla6uLmloaLDJtiqNikxtGhaZ2nBFpjZckWnOZbpjxw5ZtGiRtLS0yPDwsAwODkpnZ6fU1NTYZFwVRkWmNo2KTG24IlMbrsg0xzLVXml/f790dHRIXV2dRP9tk3LVFxWZ2rQpMrXhikxtuCJTZFok076+Pmlra2Oot4zjDZmWAauMTZFpGbDK2BSZlgGrjE2RKTItyHRiYkIGBgaktbUVmZZxECHTMmCVsSkyLQNWGZsi0zJglbEpMkWmqYd5x8fHRf9YIAABCEAgnwTq6+tF/5KW0dFRmacfjoyMnG5sbKw6SuEEJJ18pLN629vbq66eVAgCEIAABGaPQNXLNPxpjM7q7e7udpORWCAAAQhAAAKVIlD1Mq0UKOJAAAIQgAAEcjvMS9NDAAIQgAAErAnQM7UmTHwIQAACEKh6Asi06puYCkIAAhCAgDUBZGpNmPgQgAAEIFD1BJBp1TcxFYQABCAAAWsCyNSaMPEhAAEIQKDqCSDTqm9iKggBCEAAAtYEkKkhYX0W8JNPPinvv/+++5Y1a9a4V8HNtcXXo6mpqSLlr3S8tDz1yVj6er6ZejXfTH9fWj7sP7MENBd37dpVlQ+YmYncny1+yNToOIkTxiuvvCI/+tGPeAKTEXPCQgACEJgtAsjUiPyRI0dk//79cs8995zxInL97NFHH5V//vOf7sXl+ojD+fPny+7du+XSSy+VZ555xpVq48aNor1BXfQZw0NDQ2f0cPVKT69idQljhW/HCcvyxRdfFL47+h367+i2vg5atqVLl8aW56abbnLPO9YyhtuUGi/KY9myZfKb3/ym0DK1tbXutXmHDx+O5ek3DL8/7v8vu+yywluDFi5cWPh/feSkxvbPbC6XachG67Jz505Zv369/OMf/yjkgHL3LEdGRgrfF7ar1rOrq+uMNxqFfMI2C/dtbm52PWtdktq+pqZGwrr5dovLR13X29vr4vnYur9fomXysbRX4Fn6C0odjYnLYx835DfVm53C+En/r2WMq2d4qIef+3KE7eKPOc3nMG8aGhrcKIbur7zDfZLKEz7SNGzjMEfDdy2HeRMynypXkr4/bj/N/3DULMyFt99+W7799lt3vvHnlL179xbOP/5cs2LFCvnoo4/ccRO2tfJKOpeFZfTtoet8roXnsLjyhW2o+/31r38VlZiO/vl2TDrW4r67kqd/ZFpJmkGspIbTpNNE00TUZwT77e68806X3N/97nddckYPWH1Av56Uoicbf0D6BNa4Kua4E6oOM6t4/SvoppJfeJILtw3LEIpoOvG03Frv8IQbJ8fJLk6mI9Ow3NG2KoepXix5Tr4uf/vb39wFUnhSDFmG3xcy0xO0nky8eMKTjRdU0jZhmZNkqid+LwGN7blrHoYXfuEFgX4WviwilKnf59SpU6InW83hUC5eWP6iMMybc845J3afqdq5FJmGx05YzyhX/Swpl5NkquXu6emR733veyXLdM+ePXL99de7i6SwfmFOlCpTf7EalwfhuSTMgalyLGSg9dYL/XXr1rk8DNs+eu4J2yJsa38cJJ3LwgvX6Ok37hySdIGl379t2zZ3AeovDvQ8Euazz0fNTevXbyJTI5kmvaEmvEr1X61XVPfdd1+R6MKD6w9/+EOh9+n30RNUtKflJa0yDa/qfO8i+h1J8vO95vAeb9JVtJ4c/MERdwXsD07thcfF0xOMPxGHV+HhyUwP6qSeUNh8pfRMPZewtxXtTfmDTg/QqZhq78SfFPWCR8Vy/Phxd7GkMo1jGZWpH3FIehGD5pIueqIIT6JxPVZ/IvP36cOe5cGDB4tk7cvx4x//uEimut5fvOn+cYKLfrdv22jMxYsXy8UXX+xOzGFOa1zf7sqsv7/fvSpRc93XNe7QLEWmUdHEXdiGx2FYdt9DSjrOfv/737vRo48//viMi4e4svmL5LA9JuvtRS/CknqmcbkS9vCSRrXC/cLtfY9Z6x1eWCUdG76Hrse+zx/f1tGefNju4fnCMw7nlvgesn4WVz793riLTF3nj5PLL7+8aBTIt2nIxOK0j0wtqP5PIvheQHR4LG74N3r1FSagnnSiw6da7HAbP0w8Wc9Ue1F64tIraz1Z6hJNsKQr51BU4TbRIUtfzrgTdVxPN9orSpJj+J26TdxVZiky9fsl9Uynw1Trde6558qxY8fkrrvucpLwMo0bJk/qmSaNZsT1LKInrFJ6ptGh+iSZhvKeTKa+bmF7KL9Dhw65ZtQREB0G9L3tsA3D3qweH1r+JUuWyLvvvlsYOZmuTKMXiZMN74XDk/p9Ya8pylRl4S+U4nricTLVPPAXCtG3VU1nmDd6fIWvkyylZ+q3CcsVjmSVK9O4ti5XptFjXvPluuuuK3CLjrSVK1NtU3qmRqKbibBxE5B0uEcPht/+9rdnDGv67ZOGRuLEHJ70wuHjpGFelan2TvyV/1TDskmiDId+phJD2OuJizedYd5KyFSH6/xJLrxang5TldQ777xTGG7yvdlwmDfp3lpUlNH37UZ7hb7XFR2V8EO20RNZ9MLHapi3r6/P3ddWmWpPwPf2wl5iVB7hiITm0fPPPy8/+MEPJr0vXkrPtNxhXs9uMpnqNn74XrcrVaZ+LoEKIjqTP41M40a+osOucce53y+UqW7n20//v5xh3ri2TjvMG5VpWL5oz7TUYV5th+hFYqU9QM+00kSDeNEhXX+CiRsiW758uett6aITAKKTUcIhVE02PRi2bt16Run1sw0bNrgJPP7eqD+hrlq1yk2O0eE0fy9ssglD2nvwB5kOb+m2erLXg9b/jGSqIctQKHHxokO44TBUtDfsh0y10nE/MwoZRcFEh8X1oPQXBfqdevWq9YsO82mcyZj6e6b+ZBle1CTVPXqfOWmYN+6WgK+X1kfbwk8+06HHO+6444zJMlEZh4zCSSfR0ZK4CTqTTUAKh0rDCz8v07CsYdv44XY/YqJlUulo3X3uRU+gcW3kY4aT4TzXcOjQbxfHIdqDDXum4X19LVso06nKo8dqOBoUN2Gv1Humk90SCMsf3vcOJw9Fjy+Np+ea8847T37xi184PC+99JKcPHnSTewJb4fE3TONa2t/QRd3LosbJUjKNd9GYfmiuaD76kWO5ldcPocXsdG5AJU+9SPTShOdZrypZjFGw0bva+nn0clN0yxKbnfLGtPwpB2KLGkSUpYbLq7MYf3CC63oRJ3ovfSkeurJUi9EV69enQkUWStPKVCmmgBWSoxyz2WlxIzbZrLh++nGTLMfMk1Dr4L7lpuAWTvxVxDFrIXKGtM8yTT6s5RwBmypCZE1eWWtPKVwRKalUIrfBplOnx17QgACEIAABBwBZEoiQAACEIAABFISQKYpAbI7BCAAAQhAAJmSAxCAAAQgAIGUBJBpSoDsDgEIQAACEECm5AAEIAABCEAgJQFkmhIgu0MAAhCAAASQKTkAAQhAAAIQSEkAmaYEyO4QgAAEIAABZEoOQAACEIAABFISQKYpAbI7BCAAAQhAAJmSAxCAAAQgAIGUBJBpSoDsDgEIQAACEECm5AAEIAABCEAgJQFkmhIgu0MAAhCAAASQKTkAAQhAAAIQSEkAmaYEyO4QgAAEIAABZEoOQAACEIAABFISQKYpAbI7BCAAAQhAoCDT0dHRg6dPn/4RSCAAAQhAAAIQKI/AvHnz3vwvyCnFDNn1HUIAAAAASUVORK5CYII=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81584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373380</xdr:colOff>
      <xdr:row>11</xdr:row>
      <xdr:rowOff>53340</xdr:rowOff>
    </xdr:from>
    <xdr:to>
      <xdr:col>6</xdr:col>
      <xdr:colOff>1661160</xdr:colOff>
      <xdr:row>26</xdr:row>
      <xdr:rowOff>53340</xdr:rowOff>
    </xdr:to>
    <xdr:graphicFrame macro="">
      <xdr:nvGraphicFramePr>
        <xdr:cNvPr id="7" name="Диаграмма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10</xdr:row>
          <xdr:rowOff>53340</xdr:rowOff>
        </xdr:from>
        <xdr:to>
          <xdr:col>3</xdr:col>
          <xdr:colOff>3810</xdr:colOff>
          <xdr:row>14</xdr:row>
          <xdr:rowOff>68580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1645920</xdr:colOff>
          <xdr:row>3</xdr:row>
          <xdr:rowOff>7620</xdr:rowOff>
        </xdr:from>
        <xdr:to>
          <xdr:col>6</xdr:col>
          <xdr:colOff>1363980</xdr:colOff>
          <xdr:row>7</xdr:row>
          <xdr:rowOff>129540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1912620</xdr:colOff>
      <xdr:row>11</xdr:row>
      <xdr:rowOff>53340</xdr:rowOff>
    </xdr:from>
    <xdr:to>
      <xdr:col>13</xdr:col>
      <xdr:colOff>365760</xdr:colOff>
      <xdr:row>26</xdr:row>
      <xdr:rowOff>53340</xdr:rowOff>
    </xdr:to>
    <xdr:graphicFrame macro="">
      <xdr:nvGraphicFramePr>
        <xdr:cNvPr id="15" name="diagram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b_2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основна"/>
      <sheetName val="допоміжна"/>
      <sheetName val="зведена"/>
    </sheetNames>
    <sheetDataSet>
      <sheetData sheetId="0">
        <row r="1">
          <cell r="I1" t="str">
            <v>Середня кількість шкідників даного виду, що знищені в квартирі за рік</v>
          </cell>
        </row>
        <row r="2">
          <cell r="B2" t="str">
            <v>Раптор(підвіска)</v>
          </cell>
          <cell r="I2">
            <v>99</v>
          </cell>
        </row>
        <row r="3">
          <cell r="B3" t="str">
            <v>Bros(порошок)</v>
          </cell>
          <cell r="I3">
            <v>200</v>
          </cell>
        </row>
        <row r="4">
          <cell r="B4" t="str">
            <v>Rubit(гель)</v>
          </cell>
          <cell r="I4">
            <v>379</v>
          </cell>
        </row>
      </sheetData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os" refreshedDate="44984.035830787034" createdVersion="6" refreshedVersion="6" minRefreshableVersion="3" recordCount="3" xr:uid="{6774A716-30C7-4E5D-81FC-0C1F01B0950B}">
  <cacheSource type="worksheet">
    <worksheetSource ref="A1:J4" sheet="основна"/>
  </cacheSource>
  <cacheFields count="10">
    <cacheField name="Номер з/п" numFmtId="0">
      <sharedItems containsSemiMixedTypes="0" containsString="0" containsNumber="1" containsInteger="1" minValue="1" maxValue="3" count="3">
        <n v="1"/>
        <n v="2"/>
        <n v="3"/>
      </sharedItems>
    </cacheField>
    <cacheField name="Вид хімічного засобу" numFmtId="0">
      <sharedItems count="3">
        <s v="Раптор(підвіска)"/>
        <s v="Bros(порошок)"/>
        <s v="Rubit(гель)"/>
      </sharedItems>
    </cacheField>
    <cacheField name="Вид шкідника" numFmtId="49">
      <sharedItems count="3">
        <s v="моль"/>
        <s v="мураха"/>
        <s v="тарган"/>
      </sharedItems>
    </cacheField>
    <cacheField name="Адреса квартири" numFmtId="0">
      <sharedItems count="3">
        <s v="вул. Яворницького"/>
        <s v="вул. Воскресенська"/>
        <s v="вул. Глінки"/>
      </sharedItems>
    </cacheField>
    <cacheField name="ПІБ власник" numFmtId="49">
      <sharedItems count="3">
        <s v="Шевченко Миколай Іванович"/>
        <s v="Олейник Олександр Вадимович"/>
        <s v="Ковальчук Ілля Іванович"/>
      </sharedItems>
    </cacheField>
    <cacheField name="Середня к-ть шкідників даного виду, що побували в квартирі за рік" numFmtId="1">
      <sharedItems containsSemiMixedTypes="0" containsString="0" containsNumber="1" containsInteger="1" minValue="100" maxValue="400"/>
    </cacheField>
    <cacheField name="Об’єм закупівлі в рік, од." numFmtId="1">
      <sharedItems containsSemiMixedTypes="0" containsString="0" containsNumber="1" containsInteger="1" minValue="14" maxValue="31"/>
    </cacheField>
    <cacheField name="загальна кількість знищених шкідників" numFmtId="0">
      <sharedItems containsSemiMixedTypes="0" containsString="0" containsNumber="1" containsInteger="1" minValue="143" maxValue="431"/>
    </cacheField>
    <cacheField name="Середня кількість шкідників даного виду, що знищені в квартирі за рік" numFmtId="1">
      <sharedItems containsSemiMixedTypes="0" containsString="0" containsNumber="1" containsInteger="1" minValue="99" maxValue="379"/>
    </cacheField>
    <cacheField name="Ефективність засобу, $" numFmtId="0">
      <sharedItems containsSemiMixedTypes="0" containsString="0" containsNumber="1" minValue="13.108328796951552" maxValue="82.7173326832940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os" refreshedDate="44998.003992129627" createdVersion="6" refreshedVersion="6" minRefreshableVersion="3" recordCount="7" xr:uid="{0FB80462-DC61-42C9-8387-0D0AC904D5AF}">
  <cacheSource type="worksheet">
    <worksheetSource ref="A1:C8" sheet="зведена"/>
  </cacheSource>
  <cacheFields count="3">
    <cacheField name="Названия строк" numFmtId="0">
      <sharedItems/>
    </cacheField>
    <cacheField name="Сумма по полю Номер з/п" numFmtId="0">
      <sharedItems containsSemiMixedTypes="0" containsString="0" containsNumber="1" containsInteger="1" minValue="1" maxValue="6"/>
    </cacheField>
    <cacheField name="Сумма по полю Ефективність засобу, $" numFmtId="0">
      <sharedItems containsSemiMixedTypes="0" containsString="0" containsNumber="1" minValue="13.108328796951552" maxValue="115.102492433723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x v="0"/>
    <x v="0"/>
    <x v="0"/>
    <n v="100"/>
    <n v="31"/>
    <n v="143"/>
    <n v="99"/>
    <n v="19.276830953477656"/>
  </r>
  <r>
    <x v="1"/>
    <x v="1"/>
    <x v="1"/>
    <x v="1"/>
    <x v="1"/>
    <n v="243"/>
    <n v="14"/>
    <n v="250"/>
    <n v="200"/>
    <n v="13.108328796951552"/>
  </r>
  <r>
    <x v="2"/>
    <x v="2"/>
    <x v="2"/>
    <x v="2"/>
    <x v="2"/>
    <n v="400"/>
    <n v="24"/>
    <n v="431"/>
    <n v="379"/>
    <n v="82.71733268329403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Bros(порошок)"/>
    <n v="2"/>
    <n v="13.108328796951552"/>
  </r>
  <r>
    <s v="мураха"/>
    <n v="2"/>
    <n v="13.108328796951552"/>
  </r>
  <r>
    <s v="Rubit(гель)"/>
    <n v="3"/>
    <n v="82.717332683294032"/>
  </r>
  <r>
    <s v="тарган"/>
    <n v="3"/>
    <n v="82.717332683294032"/>
  </r>
  <r>
    <s v="Раптор(підвіска)"/>
    <n v="1"/>
    <n v="19.276830953477656"/>
  </r>
  <r>
    <s v="моль"/>
    <n v="1"/>
    <n v="19.276830953477656"/>
  </r>
  <r>
    <s v="Общий итог"/>
    <n v="6"/>
    <n v="115.102492433723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AF793-239F-4CB0-BD1F-434EFF697E17}" name="зведенаТаблиця" cacheId="36037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9" rowHeaderCaption="name">
  <location ref="A1:C8" firstHeaderRow="0" firstDataRow="1" firstDataCol="1"/>
  <pivotFields count="10">
    <pivotField dataField="1" showAll="0">
      <items count="4">
        <item x="0"/>
        <item x="1"/>
        <item x="2"/>
        <item t="default"/>
      </items>
    </pivotField>
    <pivotField name="name" axis="axisRow" showAll="0">
      <items count="4">
        <item x="1"/>
        <item x="2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numFmtId="1" showAll="0"/>
    <pivotField numFmtId="1" showAll="0"/>
    <pivotField showAll="0"/>
    <pivotField numFmtId="1" showAll="0"/>
    <pivotField dataField="1" showAll="0"/>
  </pivotFields>
  <rowFields count="2">
    <field x="1"/>
    <field x="2"/>
  </rowFields>
  <rowItems count="7">
    <i>
      <x/>
    </i>
    <i r="1">
      <x v="1"/>
    </i>
    <i>
      <x v="1"/>
    </i>
    <i r="1">
      <x v="2"/>
    </i>
    <i>
      <x v="2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value" fld="9" baseField="1" baseItem="0"/>
    <dataField name="Сумма по полю Номер з/п" fld="0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AA304F-67A5-486B-B99B-28B84499A744}" name="MyPivotTable" cacheId="36038" dataOnRows="1" applyNumberFormats="0" applyBorderFormats="0" applyFontFormats="0" applyPatternFormats="0" applyAlignmentFormats="0" applyWidthHeightFormats="1" dataCaption="Данные" updatedVersion="6" showItems="0" showMultipleLabel="0" showMemberPropertyTips="0" useAutoFormatting="1" itemPrintTitles="1" showDropZones="0" indent="0" compact="0" compactData="0" gridDropZones="1">
  <location ref="C20:D21" firstHeaderRow="1" firstDataRow="1" firstDataCol="1"/>
  <pivotFields count="3">
    <pivotField compact="0" outline="0" showAll="0" includeNewItemsInFilter="1"/>
    <pivotField compact="0" outline="0" showAll="0" includeNewItemsInFilter="1"/>
    <pivotField compact="0" outline="0" showAll="0" includeNewItemsInFilter="1"/>
  </pivot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9" Type="http://schemas.openxmlformats.org/officeDocument/2006/relationships/image" Target="../media/image3.emf"/><Relationship Id="rId4" Type="http://schemas.openxmlformats.org/officeDocument/2006/relationships/control" Target="../activeX/activeX1.xml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vmlDrawing" Target="../drawings/vmlDrawing2.vml"/><Relationship Id="rId10" Type="http://schemas.openxmlformats.org/officeDocument/2006/relationships/control" Target="../activeX/activeX9.xml"/><Relationship Id="rId4" Type="http://schemas.openxmlformats.org/officeDocument/2006/relationships/drawing" Target="../drawings/drawing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14"/>
  <sheetViews>
    <sheetView zoomScaleNormal="100" workbookViewId="0">
      <selection activeCell="G3" sqref="G3"/>
    </sheetView>
  </sheetViews>
  <sheetFormatPr defaultRowHeight="14.45"/>
  <cols>
    <col min="1" max="1" width="18.7109375" bestFit="1" customWidth="1"/>
    <col min="2" max="2" width="13.5703125" bestFit="1" customWidth="1"/>
    <col min="3" max="3" width="11.28515625" bestFit="1" customWidth="1"/>
    <col min="4" max="4" width="17.7109375" bestFit="1" customWidth="1"/>
    <col min="5" max="5" width="29" bestFit="1" customWidth="1"/>
    <col min="6" max="6" width="19.28515625" bestFit="1" customWidth="1"/>
    <col min="7" max="7" width="8.5703125" bestFit="1" customWidth="1"/>
    <col min="8" max="8" width="18.7109375" bestFit="1" customWidth="1"/>
    <col min="9" max="9" width="8.5703125" bestFit="1" customWidth="1"/>
    <col min="10" max="10" width="12" bestFit="1" customWidth="1"/>
    <col min="11" max="11" width="7.5703125" bestFit="1" customWidth="1"/>
  </cols>
  <sheetData>
    <row r="1" spans="1:18" ht="129.6">
      <c r="A1" s="8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4" t="s">
        <v>10</v>
      </c>
      <c r="L1" s="1"/>
      <c r="M1" s="1"/>
      <c r="N1" s="1"/>
      <c r="O1" s="1"/>
      <c r="P1" s="1"/>
      <c r="Q1" s="1"/>
      <c r="R1" s="1"/>
    </row>
    <row r="2" spans="1:18" ht="15" customHeight="1">
      <c r="A2" s="18">
        <v>1</v>
      </c>
      <c r="B2" s="32" t="s">
        <v>11</v>
      </c>
      <c r="C2" s="13" t="s">
        <v>12</v>
      </c>
      <c r="D2" s="10" t="s">
        <v>13</v>
      </c>
      <c r="E2" s="13" t="s">
        <v>14</v>
      </c>
      <c r="F2" s="14">
        <v>100</v>
      </c>
      <c r="G2" s="14">
        <v>11331</v>
      </c>
      <c r="H2" s="12">
        <v>143</v>
      </c>
      <c r="I2" s="14">
        <v>99</v>
      </c>
      <c r="J2" s="9">
        <f>($G$2*VLOOKUP(основна!$B$1:$B$4,допоміжна!$A$1:$C$7,2,0)*$I$2)/(курс*$H$2)</f>
        <v>7045.9926301243659</v>
      </c>
      <c r="K2" s="5">
        <v>36.74</v>
      </c>
    </row>
    <row r="3" spans="1:18">
      <c r="A3" s="18">
        <v>2</v>
      </c>
      <c r="B3" s="9" t="s">
        <v>15</v>
      </c>
      <c r="C3" s="13" t="s">
        <v>16</v>
      </c>
      <c r="D3" s="9" t="s">
        <v>17</v>
      </c>
      <c r="E3" s="13" t="s">
        <v>18</v>
      </c>
      <c r="F3" s="14">
        <v>243</v>
      </c>
      <c r="G3" s="14">
        <v>101</v>
      </c>
      <c r="H3" s="12">
        <v>250</v>
      </c>
      <c r="I3" s="14">
        <v>200</v>
      </c>
      <c r="J3" s="9">
        <f>($G$3*VLOOKUP(основна!$B$1:$B$4,допоміжна!$A$1:$C$7,2,0)*$I$3)/(курс*$H$3)</f>
        <v>94.567229178007622</v>
      </c>
      <c r="K3" s="5"/>
    </row>
    <row r="4" spans="1:18">
      <c r="A4" s="18">
        <v>3</v>
      </c>
      <c r="B4" s="9" t="s">
        <v>19</v>
      </c>
      <c r="C4" s="13" t="s">
        <v>20</v>
      </c>
      <c r="D4" s="9" t="s">
        <v>21</v>
      </c>
      <c r="E4" s="13" t="s">
        <v>22</v>
      </c>
      <c r="F4" s="14">
        <v>400</v>
      </c>
      <c r="G4" s="14">
        <v>24</v>
      </c>
      <c r="H4" s="12">
        <v>431</v>
      </c>
      <c r="I4" s="14">
        <v>379</v>
      </c>
      <c r="J4" s="9">
        <f>($G$4*VLOOKUP(основна!$B$1:$B$4,допоміжна!$A$1:$C$7,2,0)*$I$4)/(курс*$H$4)</f>
        <v>82.717332683294032</v>
      </c>
    </row>
    <row r="5" spans="1:18">
      <c r="A5" s="19"/>
      <c r="B5" s="20"/>
      <c r="C5" s="21"/>
      <c r="D5" s="20"/>
      <c r="E5" s="21"/>
      <c r="F5" s="22"/>
      <c r="G5" s="22"/>
      <c r="H5" s="23"/>
      <c r="I5" s="22"/>
      <c r="J5" s="20"/>
    </row>
    <row r="6" spans="1:18">
      <c r="A6" s="2"/>
      <c r="C6" s="7"/>
      <c r="E6" s="7"/>
      <c r="F6" s="6"/>
      <c r="G6" s="6"/>
      <c r="H6" s="2"/>
      <c r="I6" s="2"/>
    </row>
    <row r="7" spans="1:18">
      <c r="A7" s="2"/>
      <c r="B7" t="s">
        <v>23</v>
      </c>
      <c r="F7" s="2"/>
      <c r="G7" s="6"/>
      <c r="H7" s="2"/>
      <c r="I7" s="2"/>
      <c r="J7" s="2"/>
    </row>
    <row r="8" spans="1:18">
      <c r="A8" s="2"/>
      <c r="G8" s="2"/>
      <c r="H8" s="2"/>
      <c r="I8" s="2"/>
      <c r="J8" s="2"/>
    </row>
    <row r="9" spans="1:18">
      <c r="A9" s="2"/>
      <c r="G9" s="2"/>
      <c r="H9" s="2"/>
    </row>
    <row r="10" spans="1:18">
      <c r="A10" s="2"/>
      <c r="G10" s="2"/>
      <c r="H10" s="2"/>
    </row>
    <row r="11" spans="1:18">
      <c r="H11" s="2"/>
    </row>
    <row r="12" spans="1:18">
      <c r="H12" s="2"/>
    </row>
    <row r="13" spans="1:18">
      <c r="H13" s="2"/>
    </row>
    <row r="14" spans="1:18">
      <c r="E14" s="7"/>
    </row>
  </sheetData>
  <autoFilter ref="C1:C8" xr:uid="{53113921-3858-4D57-9F9A-30471BC92D0E}">
    <sortState xmlns:xlrd2="http://schemas.microsoft.com/office/spreadsheetml/2017/richdata2" ref="A2:J8">
      <sortCondition ref="C1:C8"/>
    </sortState>
  </autoFilter>
  <sortState xmlns:xlrd2="http://schemas.microsoft.com/office/spreadsheetml/2017/richdata2" ref="A2:I7">
    <sortCondition ref="A2:A7"/>
  </sortState>
  <dataValidations xWindow="1181" yWindow="540" count="11">
    <dataValidation type="custom" showInputMessage="1" showErrorMessage="1" errorTitle="ВВЕДІТЬ ТЕКСТ" error="ВВЕДІТЬ ТЕКСТ" promptTitle="введіть текст" prompt="текст" sqref="E9:E1048576" xr:uid="{68C1F426-A5AE-425A-AC8F-5FE25423EB77}">
      <formula1 xml:space="preserve"> ISTEXT(E10)</formula1>
    </dataValidation>
    <dataValidation type="whole" allowBlank="1" showInputMessage="1" showErrorMessage="1" errorTitle="ВВЕДІТЬ ЧИСЛО!!!" error="ВВЕДІТЬ ЧИСЛО!!!!!!!!!!" promptTitle="введіть число" prompt="введіть число" sqref="F7:F9" xr:uid="{35FCB17F-9682-45C9-969E-5F4DDB894C4F}">
      <formula1>0</formula1>
      <formula2>10000000</formula2>
    </dataValidation>
    <dataValidation type="whole" allowBlank="1" showInputMessage="1" showErrorMessage="1" errorTitle="ВВЕДІТЬ ЧИСЛООО!!!!!!" error="ВВЕДІТЬ ЧИСЛООО!!!!!!" promptTitle="введіть, будь ласка, число" prompt="введіть, будь ласка, число" sqref="F1:I2 F3:I3 F4:I4 F5:I6" xr:uid="{EB46B3C8-58C6-4C1F-8A96-33F21B9666A6}">
      <formula1>0</formula1>
      <formula2>10000000</formula2>
    </dataValidation>
    <dataValidation type="custom" allowBlank="1" showInputMessage="1" showErrorMessage="1" errorTitle="введіть текст" error="введіть текст" promptTitle="введіть текст" prompt="введіть текст" sqref="C2:C4" xr:uid="{64BD0379-D5AC-4D65-BD29-95011F6A3AB7}">
      <formula1 xml:space="preserve"> ISTEXT(#REF!-C1)</formula1>
    </dataValidation>
    <dataValidation type="custom" allowBlank="1" showInputMessage="1" showErrorMessage="1" errorTitle="введіть текст" error="введіть текст" promptTitle="введіть текст" prompt="введіть текст" sqref="C5:C6" xr:uid="{F6262FD1-4AAB-4034-8D57-3821B41E2214}">
      <formula1 xml:space="preserve"> ISTEXT(C1-C4)</formula1>
    </dataValidation>
    <dataValidation type="custom" showInputMessage="1" showErrorMessage="1" errorTitle="ВВЕДІТЬ ТЕКСТ" error="ВВЕДІТЬ ТЕКСТ" promptTitle="введіть текст" prompt="текст" sqref="E14" xr:uid="{968D02BB-CECB-497E-91EE-7F7D88D2BF5A}">
      <formula1 xml:space="preserve"> ISTEXT(#REF!-E8)</formula1>
    </dataValidation>
    <dataValidation type="custom" allowBlank="1" showInputMessage="1" showErrorMessage="1" errorTitle="ВВЕДІТЬ ТЕКСТ" error="ВВЕДІТЬ ТЕКСТ" promptTitle="введіть, будь ласка, ПІБ(текст)" prompt="введіть текст" sqref="E1:E3" xr:uid="{72C0917D-58AA-4E3F-8F88-68DB972CD5DC}">
      <formula1>ISTEXT(E1-E4)</formula1>
    </dataValidation>
    <dataValidation type="custom" allowBlank="1" showInputMessage="1" showErrorMessage="1" errorTitle="ВВЕДІТЬ ТЕКСТ" error="ВВЕДІТЬ ТЕКСТ" promptTitle="введіть, будь ласка, ПІБ(текст)" prompt="введіть текст" sqref="E4" xr:uid="{B78A7D73-801F-4B27-AB79-834A58930965}">
      <formula1>ISTEXT(E4-E14)</formula1>
    </dataValidation>
    <dataValidation type="custom" showInputMessage="1" showErrorMessage="1" errorTitle="ВВЕДІТЬ ТЕКСТ" error="ВВЕДІТЬ ТЕКСТ" promptTitle="введіть текст" prompt="текст" sqref="E5" xr:uid="{7B257A18-9772-475C-8FD5-CA48E29F2D40}">
      <formula1 xml:space="preserve"> ISTEXT(E1-E6)</formula1>
    </dataValidation>
    <dataValidation type="custom" showInputMessage="1" showErrorMessage="1" errorTitle="ВВЕДІТЬ ТЕКСТ" error="ВВЕДІТЬ ТЕКСТ" promptTitle="введіть текст" prompt="текст" sqref="E6" xr:uid="{48BDE72B-8C83-4481-8AD3-E9406B58F1B3}">
      <formula1 xml:space="preserve"> ISTEXT(E2-E14)</formula1>
    </dataValidation>
    <dataValidation type="custom" showInputMessage="1" showErrorMessage="1" errorTitle="ВВЕДІТЬ ТЕКСТ" error="ВВЕДІТЬ ТЕКСТ" promptTitle="введіть текст" prompt="текст" sqref="E8" xr:uid="{6DB59C58-67E9-4C0F-8B25-3C1285C232B4}">
      <formula1 xml:space="preserve"> ISTEXT(E3-E9)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6</xdr:col>
                <xdr:colOff>320040</xdr:colOff>
                <xdr:row>5</xdr:row>
                <xdr:rowOff>167640</xdr:rowOff>
              </from>
              <to>
                <xdr:col>8</xdr:col>
                <xdr:colOff>30480</xdr:colOff>
                <xdr:row>10</xdr:row>
                <xdr:rowOff>7620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6</xdr:col>
                <xdr:colOff>0</xdr:colOff>
                <xdr:row>10</xdr:row>
                <xdr:rowOff>99060</xdr:rowOff>
              </from>
              <to>
                <xdr:col>8</xdr:col>
                <xdr:colOff>182880</xdr:colOff>
                <xdr:row>15</xdr:row>
                <xdr:rowOff>76200</xdr:rowOff>
              </to>
            </anchor>
          </controlPr>
        </control>
      </mc:Choice>
      <mc:Fallback>
        <control shapeId="2052" r:id="rId6" name="CommandButton2"/>
      </mc:Fallback>
    </mc:AlternateContent>
    <mc:AlternateContent xmlns:mc="http://schemas.openxmlformats.org/markup-compatibility/2006">
      <mc:Choice Requires="x14">
        <control shapeId="2054" r:id="rId4" name="CommandButton3">
          <controlPr defaultSize="0" autoLine="0" r:id="rId5">
            <anchor moveWithCells="1">
              <from>
                <xdr:col>6</xdr:col>
                <xdr:colOff>236220</xdr:colOff>
                <xdr:row>16</xdr:row>
                <xdr:rowOff>175260</xdr:rowOff>
              </from>
              <to>
                <xdr:col>7</xdr:col>
                <xdr:colOff>1150620</xdr:colOff>
                <xdr:row>21</xdr:row>
                <xdr:rowOff>38100</xdr:rowOff>
              </to>
            </anchor>
          </controlPr>
        </control>
      </mc:Choice>
      <mc:Fallback>
        <control shapeId="2054" r:id="rId4" name="CommandButton3"/>
      </mc:Fallback>
    </mc:AlternateContent>
    <mc:AlternateContent xmlns:mc="http://schemas.openxmlformats.org/markup-compatibility/2006">
      <mc:Choice Requires="x14">
        <control shapeId="2059" r:id="rId10" name="CommandButton5">
          <controlPr defaultSize="0" autoLine="0" r:id="rId11">
            <anchor moveWithCells="1">
              <from>
                <xdr:col>8</xdr:col>
                <xdr:colOff>373380</xdr:colOff>
                <xdr:row>5</xdr:row>
                <xdr:rowOff>121920</xdr:rowOff>
              </from>
              <to>
                <xdr:col>11</xdr:col>
                <xdr:colOff>365760</xdr:colOff>
                <xdr:row>10</xdr:row>
                <xdr:rowOff>60960</xdr:rowOff>
              </to>
            </anchor>
          </controlPr>
        </control>
      </mc:Choice>
      <mc:Fallback>
        <control shapeId="2059" r:id="rId10" name="CommandButton5"/>
      </mc:Fallback>
    </mc:AlternateContent>
    <mc:AlternateContent xmlns:mc="http://schemas.openxmlformats.org/markup-compatibility/2006">
      <mc:Choice Requires="x14">
        <control shapeId="2062" r:id="rId12" name="CommandButton6">
          <controlPr defaultSize="0" autoLine="0" r:id="rId13">
            <anchor moveWithCells="1">
              <from>
                <xdr:col>9</xdr:col>
                <xdr:colOff>38100</xdr:colOff>
                <xdr:row>12</xdr:row>
                <xdr:rowOff>38100</xdr:rowOff>
              </from>
              <to>
                <xdr:col>11</xdr:col>
                <xdr:colOff>426720</xdr:colOff>
                <xdr:row>15</xdr:row>
                <xdr:rowOff>60960</xdr:rowOff>
              </to>
            </anchor>
          </controlPr>
        </control>
      </mc:Choice>
      <mc:Fallback>
        <control shapeId="2062" r:id="rId12" name="CommandButton6"/>
      </mc:Fallback>
    </mc:AlternateContent>
    <mc:AlternateContent xmlns:mc="http://schemas.openxmlformats.org/markup-compatibility/2006">
      <mc:Choice Requires="x14">
        <control shapeId="2063" r:id="rId14" name="CommandButton7">
          <controlPr defaultSize="0" autoLine="0" r:id="rId15">
            <anchor moveWithCells="1">
              <from>
                <xdr:col>8</xdr:col>
                <xdr:colOff>411480</xdr:colOff>
                <xdr:row>17</xdr:row>
                <xdr:rowOff>114300</xdr:rowOff>
              </from>
              <to>
                <xdr:col>11</xdr:col>
                <xdr:colOff>449580</xdr:colOff>
                <xdr:row>20</xdr:row>
                <xdr:rowOff>152400</xdr:rowOff>
              </to>
            </anchor>
          </controlPr>
        </control>
      </mc:Choice>
      <mc:Fallback>
        <control shapeId="2063" r:id="rId14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DB5D-808B-42C9-A116-3C59BC0DF6B0}">
  <sheetPr codeName="Лист2"/>
  <dimension ref="A1:M9"/>
  <sheetViews>
    <sheetView tabSelected="1" workbookViewId="0">
      <selection activeCell="P11" sqref="P11"/>
    </sheetView>
  </sheetViews>
  <sheetFormatPr defaultRowHeight="14.45"/>
  <cols>
    <col min="1" max="1" width="15.7109375" customWidth="1"/>
    <col min="2" max="3" width="10.7109375" customWidth="1"/>
    <col min="11" max="11" width="15.7109375" customWidth="1"/>
    <col min="13" max="13" width="10.7109375" customWidth="1"/>
  </cols>
  <sheetData>
    <row r="1" spans="1:13" ht="115.15">
      <c r="A1" s="10" t="s">
        <v>24</v>
      </c>
      <c r="B1" s="10" t="s">
        <v>25</v>
      </c>
      <c r="C1" s="11" t="s">
        <v>26</v>
      </c>
      <c r="K1" s="1"/>
      <c r="L1" s="1"/>
      <c r="M1" s="3"/>
    </row>
    <row r="2" spans="1:13">
      <c r="A2" s="9" t="s">
        <v>11</v>
      </c>
      <c r="B2" s="12">
        <v>33</v>
      </c>
      <c r="C2" s="12">
        <v>4</v>
      </c>
      <c r="L2" s="2"/>
      <c r="M2" s="2"/>
    </row>
    <row r="3" spans="1:13">
      <c r="A3" s="9" t="s">
        <v>15</v>
      </c>
      <c r="B3" s="12">
        <v>43</v>
      </c>
      <c r="C3" s="12">
        <v>15</v>
      </c>
      <c r="L3" s="2"/>
      <c r="M3" s="2"/>
    </row>
    <row r="4" spans="1:13">
      <c r="A4" s="20" t="s">
        <v>19</v>
      </c>
      <c r="B4" s="23">
        <v>144</v>
      </c>
      <c r="C4" s="23">
        <v>18</v>
      </c>
      <c r="L4" s="2"/>
      <c r="M4" s="2"/>
    </row>
    <row r="5" spans="1:13">
      <c r="B5" s="2"/>
      <c r="C5" s="2"/>
      <c r="L5" s="2"/>
      <c r="M5" s="2"/>
    </row>
    <row r="6" spans="1:13">
      <c r="B6" s="2"/>
      <c r="C6" s="2"/>
      <c r="L6" s="2"/>
      <c r="M6" s="2"/>
    </row>
    <row r="7" spans="1:13">
      <c r="B7" s="2"/>
      <c r="C7" s="2"/>
      <c r="L7" s="2"/>
      <c r="M7" s="2"/>
    </row>
    <row r="8" spans="1:13">
      <c r="C8" s="2"/>
      <c r="M8" s="2"/>
    </row>
    <row r="9" spans="1:13">
      <c r="C9" s="2"/>
      <c r="M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9DBD6-FB6F-4552-9FBF-EDFD159A0B00}">
  <sheetPr codeName="Лист3"/>
  <dimension ref="A1:J21"/>
  <sheetViews>
    <sheetView workbookViewId="0">
      <selection activeCell="E8" sqref="E8"/>
    </sheetView>
  </sheetViews>
  <sheetFormatPr defaultRowHeight="14.45"/>
  <cols>
    <col min="1" max="1" width="17.7109375" bestFit="1" customWidth="1"/>
    <col min="2" max="2" width="12" bestFit="1" customWidth="1"/>
    <col min="3" max="3" width="24.85546875" bestFit="1" customWidth="1"/>
    <col min="4" max="4" width="15.7109375" bestFit="1" customWidth="1"/>
    <col min="5" max="5" width="12" bestFit="1" customWidth="1"/>
    <col min="6" max="7" width="35.85546875" bestFit="1" customWidth="1"/>
  </cols>
  <sheetData>
    <row r="1" spans="1:10">
      <c r="A1" s="24" t="s">
        <v>27</v>
      </c>
      <c r="B1" t="s">
        <v>28</v>
      </c>
      <c r="C1" t="s">
        <v>29</v>
      </c>
    </row>
    <row r="2" spans="1:10">
      <c r="A2" s="25" t="s">
        <v>15</v>
      </c>
      <c r="B2">
        <v>13.108328796951552</v>
      </c>
      <c r="C2">
        <v>2</v>
      </c>
    </row>
    <row r="3" spans="1:10">
      <c r="A3" s="26" t="s">
        <v>16</v>
      </c>
      <c r="B3">
        <v>13.108328796951552</v>
      </c>
      <c r="C3">
        <v>2</v>
      </c>
    </row>
    <row r="4" spans="1:10">
      <c r="A4" s="25" t="s">
        <v>19</v>
      </c>
      <c r="B4">
        <v>82.717332683294032</v>
      </c>
      <c r="C4">
        <v>3</v>
      </c>
    </row>
    <row r="5" spans="1:10">
      <c r="A5" s="26" t="s">
        <v>20</v>
      </c>
      <c r="B5">
        <v>82.717332683294032</v>
      </c>
      <c r="C5">
        <v>3</v>
      </c>
    </row>
    <row r="6" spans="1:10">
      <c r="A6" s="25" t="s">
        <v>11</v>
      </c>
      <c r="B6">
        <v>19.276830953477656</v>
      </c>
      <c r="C6">
        <v>1</v>
      </c>
    </row>
    <row r="7" spans="1:10">
      <c r="A7" s="26" t="s">
        <v>12</v>
      </c>
      <c r="B7">
        <v>19.276830953477656</v>
      </c>
      <c r="C7">
        <v>1</v>
      </c>
    </row>
    <row r="8" spans="1:10">
      <c r="A8" s="25" t="s">
        <v>30</v>
      </c>
      <c r="B8">
        <v>115.10249243372324</v>
      </c>
      <c r="C8">
        <v>6</v>
      </c>
      <c r="J8" s="31"/>
    </row>
    <row r="20" spans="3:4">
      <c r="C20" s="27"/>
      <c r="D20" s="28"/>
    </row>
    <row r="21" spans="3:4">
      <c r="C21" s="29"/>
      <c r="D21" s="30"/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0</xdr:col>
                <xdr:colOff>175260</xdr:colOff>
                <xdr:row>10</xdr:row>
                <xdr:rowOff>30480</xdr:rowOff>
              </from>
              <to>
                <xdr:col>1</xdr:col>
                <xdr:colOff>441960</xdr:colOff>
                <xdr:row>14</xdr:row>
                <xdr:rowOff>38100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6</xdr:col>
                <xdr:colOff>1630680</xdr:colOff>
                <xdr:row>2</xdr:row>
                <xdr:rowOff>144780</xdr:rowOff>
              </from>
              <to>
                <xdr:col>8</xdr:col>
                <xdr:colOff>60960</xdr:colOff>
                <xdr:row>7</xdr:row>
                <xdr:rowOff>129540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6" r:id="rId10" name="CommandButton3">
          <controlPr defaultSize="0" autoLine="0" r:id="rId11">
            <anchor moveWithCells="1">
              <from>
                <xdr:col>2</xdr:col>
                <xdr:colOff>259080</xdr:colOff>
                <xdr:row>10</xdr:row>
                <xdr:rowOff>53340</xdr:rowOff>
              </from>
              <to>
                <xdr:col>3</xdr:col>
                <xdr:colOff>3810</xdr:colOff>
                <xdr:row>14</xdr:row>
                <xdr:rowOff>68580</xdr:rowOff>
              </to>
            </anchor>
          </controlPr>
        </control>
      </mc:Choice>
      <mc:Fallback>
        <control shapeId="3076" r:id="rId10" name="CommandButton3"/>
      </mc:Fallback>
    </mc:AlternateContent>
    <mc:AlternateContent xmlns:mc="http://schemas.openxmlformats.org/markup-compatibility/2006">
      <mc:Choice Requires="x14">
        <control shapeId="3077" r:id="rId12" name="CommandButton4">
          <controlPr defaultSize="0" autoLine="0" r:id="rId13">
            <anchor moveWithCells="1">
              <from>
                <xdr:col>5</xdr:col>
                <xdr:colOff>1645920</xdr:colOff>
                <xdr:row>3</xdr:row>
                <xdr:rowOff>7620</xdr:rowOff>
              </from>
              <to>
                <xdr:col>6</xdr:col>
                <xdr:colOff>1363980</xdr:colOff>
                <xdr:row>7</xdr:row>
                <xdr:rowOff>129540</xdr:rowOff>
              </to>
            </anchor>
          </controlPr>
        </control>
      </mc:Choice>
      <mc:Fallback>
        <control shapeId="3077" r:id="rId12" name="CommandButton4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3d38ddcd-29ec-440d-9b2d-1438abdac9ff" xsi:nil="true"/>
    <TaxCatchAll xmlns="751e7c29-bd91-42e0-8bca-a3d735c69f8a" xsi:nil="true"/>
    <lcf76f155ced4ddcb4097134ff3c332f xmlns="3d38ddcd-29ec-440d-9b2d-1438abdac9f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56D476FF58A0E4699F452319472DD96" ma:contentTypeVersion="12" ma:contentTypeDescription="Створення нового документа." ma:contentTypeScope="" ma:versionID="bb77e2b3bad5a4aa7a8fdcc37706bff2">
  <xsd:schema xmlns:xsd="http://www.w3.org/2001/XMLSchema" xmlns:xs="http://www.w3.org/2001/XMLSchema" xmlns:p="http://schemas.microsoft.com/office/2006/metadata/properties" xmlns:ns2="3d38ddcd-29ec-440d-9b2d-1438abdac9ff" xmlns:ns3="751e7c29-bd91-42e0-8bca-a3d735c69f8a" targetNamespace="http://schemas.microsoft.com/office/2006/metadata/properties" ma:root="true" ma:fieldsID="002b279b51f830cbcf75be2fa4b6a54a" ns2:_="" ns3:_="">
    <xsd:import namespace="3d38ddcd-29ec-440d-9b2d-1438abdac9ff"/>
    <xsd:import namespace="751e7c29-bd91-42e0-8bca-a3d735c69f8a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38ddcd-29ec-440d-9b2d-1438abdac9ff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Теги зображень" ma:readOnly="false" ma:fieldId="{5cf76f15-5ced-4ddc-b409-7134ff3c332f}" ma:taxonomyMulti="true" ma:sspId="17726aeb-5403-40da-a427-b7640bdfe06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1e7c29-bd91-42e0-8bca-a3d735c69f8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d118633-19d2-4ffd-b4f8-131dab6302a6}" ma:internalName="TaxCatchAll" ma:showField="CatchAllData" ma:web="751e7c29-bd91-42e0-8bca-a3d735c69f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вмісту"/>
        <xsd:element ref="dc:title" minOccurs="0" maxOccurs="1" ma:index="4" ma:displayName="Заголовок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114E4C2-8F0F-41BF-806F-7958D0037783}"/>
</file>

<file path=customXml/itemProps2.xml><?xml version="1.0" encoding="utf-8"?>
<ds:datastoreItem xmlns:ds="http://schemas.openxmlformats.org/officeDocument/2006/customXml" ds:itemID="{206AF10B-6237-481F-A5FE-E1A66DDBD0AA}"/>
</file>

<file path=customXml/itemProps3.xml><?xml version="1.0" encoding="utf-8"?>
<ds:datastoreItem xmlns:ds="http://schemas.openxmlformats.org/officeDocument/2006/customXml" ds:itemID="{7E3732D5-DEAD-485D-8850-183C2F905EB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Илья Казаников</dc:creator>
  <cp:keywords/>
  <dc:description/>
  <cp:lastModifiedBy>Лапець Ольга Вікторівна</cp:lastModifiedBy>
  <cp:revision/>
  <dcterms:created xsi:type="dcterms:W3CDTF">2023-02-22T10:41:50Z</dcterms:created>
  <dcterms:modified xsi:type="dcterms:W3CDTF">2023-04-06T18:20:10Z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0x010100B56D476FF58A0E4699F452319472DD96</vt:lpwstr>
  </property>
  <property fmtid="{D5CDD505-2E9C-101B-9397-08002B2CF9AE}" pid="3" name="MediaServiceImageTags">
    <vt:lpwstr/>
  </property>
</Properties>
</file>